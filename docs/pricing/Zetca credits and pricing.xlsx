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AI text actions" sheetId="2" state="visible" r:id="rId2"/>
    <sheet name="AI model catalog" sheetId="3" state="visible" r:id="rId3"/>
    <sheet name="YouTube suggestions" sheetId="4" state="visible" r:id="rId4"/>
    <sheet name="Pl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0;($#,##0.000);-"/>
    <numFmt numFmtId="165" formatCode="0.0%"/>
    <numFmt numFmtId="166" formatCode="#,##0;(#,##0);-"/>
    <numFmt numFmtId="167" formatCode="$#,##0.00;($#,##0.00);-"/>
    <numFmt numFmtId="168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4" fontId="5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6" fontId="5" fillId="3" borderId="0" pivotButton="0" quotePrefix="0" xfId="0"/>
    <xf numFmtId="165" fontId="5" fillId="0" borderId="0" pivotButton="0" quotePrefix="0" xfId="0"/>
    <xf numFmtId="0" fontId="6" fillId="0" borderId="0" pivotButton="0" quotePrefix="0" xfId="0"/>
    <xf numFmtId="167" fontId="6" fillId="0" borderId="0" pivotButton="0" quotePrefix="0" xfId="0"/>
    <xf numFmtId="166" fontId="5" fillId="0" borderId="0" pivotButton="0" quotePrefix="0" xfId="0"/>
    <xf numFmtId="164" fontId="0" fillId="0" borderId="0" pivotButton="0" quotePrefix="0" xfId="0"/>
    <xf numFmtId="166" fontId="6" fillId="0" borderId="0" pivotButton="0" quotePrefix="0" xfId="0"/>
    <xf numFmtId="167" fontId="0" fillId="0" borderId="0" pivotButton="0" quotePrefix="0" xfId="0"/>
    <xf numFmtId="164" fontId="6" fillId="0" borderId="0" pivotButton="0" quotePrefix="0" xfId="0"/>
    <xf numFmtId="0" fontId="5" fillId="0" borderId="0" pivotButton="0" quotePrefix="0" xfId="0"/>
    <xf numFmtId="164" fontId="7" fillId="0" borderId="0" pivotButton="0" quotePrefix="0" xfId="0"/>
    <xf numFmtId="164" fontId="4" fillId="0" borderId="0" pivotButton="0" quotePrefix="0" xfId="0"/>
    <xf numFmtId="168" fontId="6" fillId="0" borderId="0" pivotButton="0" quotePrefix="0" xfId="0"/>
    <xf numFmtId="167" fontId="5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22" customWidth="1" min="3" max="3"/>
    <col width="92" customWidth="1" min="4" max="4"/>
  </cols>
  <sheetData>
    <row r="1">
      <c r="A1" s="1" t="inlineStr">
        <is>
          <t>Zetca credits and pricing: inputs</t>
        </is>
      </c>
    </row>
    <row r="2">
      <c r="A2" s="2" t="inlineStr">
        <is>
          <t>Blue = an input you can change (yellow = the key levers). Black = formulas. Green = a link to the Inputs sheet. US dollars, as of 23 Oct 2026.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 / note</t>
        </is>
      </c>
    </row>
    <row r="5">
      <c r="A5" s="4" t="inlineStr">
        <is>
          <t>Bedrock input price (Claude Sonnet 4.6, US cross-region)</t>
        </is>
      </c>
      <c r="B5" s="5" t="n">
        <v>3.3</v>
      </c>
      <c r="C5" s="4" t="inlineStr">
        <is>
          <t>$ per million tokens</t>
        </is>
      </c>
      <c r="D5" s="2" t="inlineStr">
        <is>
          <t>AWS Price List API, AmazonBedrockFoundationModels, us-east-1, "Million Input Tokens Regional CRIS"</t>
        </is>
      </c>
    </row>
    <row r="6">
      <c r="A6" s="4" t="inlineStr">
        <is>
          <t>Bedrock output price (Claude Sonnet 4.6, US cross-region)</t>
        </is>
      </c>
      <c r="B6" s="5" t="n">
        <v>16.5</v>
      </c>
      <c r="C6" s="4" t="inlineStr">
        <is>
          <t>$ per million tokens</t>
        </is>
      </c>
      <c r="D6" s="2" t="inlineStr">
        <is>
          <t>AWS Price List API, "Million Response Tokens Regional CRIS"</t>
        </is>
      </c>
    </row>
    <row r="7">
      <c r="A7" s="4" t="inlineStr">
        <is>
          <t>Value of one Zetca credit</t>
        </is>
      </c>
      <c r="B7" s="6" t="n">
        <v>0.01</v>
      </c>
      <c r="C7" s="4" t="inlineStr">
        <is>
          <t>$</t>
        </is>
      </c>
      <c r="D7" s="2" t="inlineStr">
        <is>
          <t>Proposed: 1 credit = 1 cent</t>
        </is>
      </c>
    </row>
    <row r="8">
      <c r="A8" s="4" t="inlineStr">
        <is>
          <t>Margin on cost</t>
        </is>
      </c>
      <c r="B8" s="7" t="n">
        <v>0.4</v>
      </c>
      <c r="C8" s="4" t="inlineStr">
        <is>
          <t>%</t>
        </is>
      </c>
      <c r="D8" s="2" t="inlineStr">
        <is>
          <t>Proposed: covers card fees, server, storage, retries</t>
        </is>
      </c>
    </row>
    <row r="9">
      <c r="A9" s="4" t="inlineStr">
        <is>
          <t>Minimum price per action</t>
        </is>
      </c>
      <c r="B9" s="8" t="n">
        <v>1</v>
      </c>
      <c r="C9" s="4" t="inlineStr">
        <is>
          <t>credits</t>
        </is>
      </c>
      <c r="D9" s="2" t="inlineStr">
        <is>
          <t>Proposed: the "small minimum"</t>
        </is>
      </c>
    </row>
    <row r="10">
      <c r="A10" s="4" t="inlineStr">
        <is>
          <t>AWS Transcribe price</t>
        </is>
      </c>
      <c r="B10" s="5" t="n">
        <v>0.006</v>
      </c>
      <c r="C10" s="4" t="inlineStr">
        <is>
          <t>$ per minute of video</t>
        </is>
      </c>
      <c r="D10" s="2" t="inlineStr">
        <is>
          <t>aws.amazon.com/transcribe/pricing (US East): billed per second, no minimum</t>
        </is>
      </c>
    </row>
    <row r="11">
      <c r="A11" s="4" t="inlineStr">
        <is>
          <t>Card fee, percentage</t>
        </is>
      </c>
      <c r="B11" s="9" t="n">
        <v>0.029</v>
      </c>
      <c r="C11" s="4" t="inlineStr">
        <is>
          <t>% of each payment</t>
        </is>
      </c>
      <c r="D11" s="2" t="inlineStr">
        <is>
          <t>Approximate Stripe standard rate; Paystack / Flutterwave differ</t>
        </is>
      </c>
    </row>
    <row r="12">
      <c r="A12" s="4" t="inlineStr">
        <is>
          <t>Card fee, fixed</t>
        </is>
      </c>
      <c r="B12" s="5" t="n">
        <v>0.3</v>
      </c>
      <c r="C12" s="4" t="inlineStr">
        <is>
          <t>$ per payment</t>
        </is>
      </c>
      <c r="D12" s="2" t="inlineStr">
        <is>
          <t>Approximate Stripe standard rate</t>
        </is>
      </c>
    </row>
    <row r="13">
      <c r="A13" s="4" t="inlineStr">
        <is>
          <t>Typical share of credits a user spends</t>
        </is>
      </c>
      <c r="B13" s="7" t="n">
        <v>0.5</v>
      </c>
      <c r="C13" s="4" t="inlineStr">
        <is>
          <t>%</t>
        </is>
      </c>
      <c r="D13" s="2" t="inlineStr">
        <is>
          <t>Assumption until the usage log has real data</t>
        </is>
      </c>
    </row>
    <row r="14">
      <c r="A14" s="4" t="inlineStr">
        <is>
          <t>Lightsail server</t>
        </is>
      </c>
      <c r="B14" s="5" t="n">
        <v>12</v>
      </c>
      <c r="C14" s="4" t="inlineStr">
        <is>
          <t>$ a month</t>
        </is>
      </c>
      <c r="D14" s="2" t="inlineStr">
        <is>
          <t>terraform/variables.tf: small_3_0, 2 GB / 2 vCPU</t>
        </is>
      </c>
    </row>
    <row r="15">
      <c r="A15" s="4" t="inlineStr">
        <is>
          <t>S3 + DynamoDB + other</t>
        </is>
      </c>
      <c r="B15" s="5" t="n">
        <v>6</v>
      </c>
      <c r="C15" s="4" t="inlineStr">
        <is>
          <t>$ a month</t>
        </is>
      </c>
      <c r="D15" s="2" t="inlineStr">
        <is>
          <t>Approximate at today's use</t>
        </is>
      </c>
    </row>
    <row r="16">
      <c r="A16" s="10" t="inlineStr">
        <is>
          <t>Fixed costs a month</t>
        </is>
      </c>
      <c r="B16" s="11">
        <f>B14+B15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  <col width="30" customWidth="1" min="7" max="7"/>
  </cols>
  <sheetData>
    <row r="1">
      <c r="A1" s="1" t="inlineStr">
        <is>
          <t>What each AI text action costs (Bedrock) and its price</t>
        </is>
      </c>
    </row>
    <row r="2">
      <c r="A2" s="2" t="inlineStr">
        <is>
          <t>Edit the token counts (blue) as the usage log gives real numbers. Cost = tokens x the prices on Inputs; price = cost x (1 + margin), rounded, never below the minimum.</t>
        </is>
      </c>
    </row>
    <row r="4">
      <c r="A4" s="3" t="inlineStr">
        <is>
          <t>Action</t>
        </is>
      </c>
      <c r="B4" s="3" t="inlineStr">
        <is>
          <t>Input tokens</t>
        </is>
      </c>
      <c r="C4" s="3" t="inlineStr">
        <is>
          <t>Output tokens</t>
        </is>
      </c>
      <c r="D4" s="3" t="inlineStr">
        <is>
          <t>Cost to us ($)</t>
        </is>
      </c>
      <c r="E4" s="3" t="inlineStr">
        <is>
          <t>Price (credits)</t>
        </is>
      </c>
      <c r="F4" s="3" t="inlineStr">
        <is>
          <t>Price ($)</t>
        </is>
      </c>
      <c r="G4" s="3" t="inlineStr">
        <is>
          <t>Source</t>
        </is>
      </c>
    </row>
    <row r="5">
      <c r="A5" s="4" t="inlineStr">
        <is>
          <t>Strategy (quiz)</t>
        </is>
      </c>
      <c r="B5" s="12" t="n">
        <v>2450</v>
      </c>
      <c r="C5" s="12" t="n">
        <v>1450</v>
      </c>
      <c r="D5" s="13">
        <f>(B5*Inputs!$B$5+C5*Inputs!$B$6)/1000000</f>
        <v/>
      </c>
      <c r="E5" s="14">
        <f>MAX(Inputs!$B$9,ROUND(D5*(1+Inputs!$B$8)/Inputs!$B$7,0))</f>
        <v/>
      </c>
      <c r="F5" s="15">
        <f>E5*Inputs!$B$7</f>
        <v/>
      </c>
      <c r="G5" s="2" t="inlineStr">
        <is>
          <t>measured, 10 runs</t>
        </is>
      </c>
    </row>
    <row r="6">
      <c r="A6" s="4" t="inlineStr">
        <is>
          <t>Copywriter set, one platform (7 posts)</t>
        </is>
      </c>
      <c r="B6" s="12" t="n">
        <v>1900</v>
      </c>
      <c r="C6" s="12" t="n">
        <v>2600</v>
      </c>
      <c r="D6" s="13">
        <f>(B6*Inputs!$B$5+C6*Inputs!$B$6)/1000000</f>
        <v/>
      </c>
      <c r="E6" s="14">
        <f>MAX(Inputs!$B$9,ROUND(D6*(1+Inputs!$B$8)/Inputs!$B$7,0))</f>
        <v/>
      </c>
      <c r="F6" s="15">
        <f>E6*Inputs!$B$7</f>
        <v/>
      </c>
      <c r="G6" s="2" t="inlineStr">
        <is>
          <t>measured, 6 runs</t>
        </is>
      </c>
    </row>
    <row r="7">
      <c r="A7" s="4" t="inlineStr">
        <is>
          <t>Copywriter set, X (7 short posts)</t>
        </is>
      </c>
      <c r="B7" s="12" t="n">
        <v>1905</v>
      </c>
      <c r="C7" s="12" t="n">
        <v>723</v>
      </c>
      <c r="D7" s="13">
        <f>(B7*Inputs!$B$5+C7*Inputs!$B$6)/1000000</f>
        <v/>
      </c>
      <c r="E7" s="14">
        <f>MAX(Inputs!$B$9,ROUND(D7*(1+Inputs!$B$8)/Inputs!$B$7,0))</f>
        <v/>
      </c>
      <c r="F7" s="15">
        <f>E7*Inputs!$B$7</f>
        <v/>
      </c>
      <c r="G7" s="2" t="inlineStr">
        <is>
          <t>measured</t>
        </is>
      </c>
    </row>
    <row r="8">
      <c r="A8" s="4" t="inlineStr">
        <is>
          <t>Copywriter chat message</t>
        </is>
      </c>
      <c r="B8" s="12" t="n">
        <v>2300</v>
      </c>
      <c r="C8" s="12" t="n">
        <v>450</v>
      </c>
      <c r="D8" s="13">
        <f>(B8*Inputs!$B$5+C8*Inputs!$B$6)/1000000</f>
        <v/>
      </c>
      <c r="E8" s="14">
        <f>MAX(Inputs!$B$9,ROUND(D8*(1+Inputs!$B$8)/Inputs!$B$7,0))</f>
        <v/>
      </c>
      <c r="F8" s="15">
        <f>E8*Inputs!$B$7</f>
        <v/>
      </c>
      <c r="G8" s="2" t="inlineStr">
        <is>
          <t>measured, 2 runs</t>
        </is>
      </c>
    </row>
    <row r="9">
      <c r="A9" s="4" t="inlineStr">
        <is>
          <t>Design words (text or stock visual)</t>
        </is>
      </c>
      <c r="B9" s="12" t="n">
        <v>1200</v>
      </c>
      <c r="C9" s="12" t="n">
        <v>160</v>
      </c>
      <c r="D9" s="13">
        <f>(B9*Inputs!$B$5+C9*Inputs!$B$6)/1000000</f>
        <v/>
      </c>
      <c r="E9" s="14">
        <f>MAX(Inputs!$B$9,ROUND(D9*(1+Inputs!$B$8)/Inputs!$B$7,0))</f>
        <v/>
      </c>
      <c r="F9" s="15">
        <f>E9*Inputs!$B$7</f>
        <v/>
      </c>
      <c r="G9" s="2" t="inlineStr">
        <is>
          <t>measured, 7 runs</t>
        </is>
      </c>
    </row>
    <row r="10">
      <c r="A10" s="4" t="inlineStr">
        <is>
          <t>YouTube keywords</t>
        </is>
      </c>
      <c r="B10" s="12" t="n">
        <v>1000</v>
      </c>
      <c r="C10" s="12" t="n">
        <v>115</v>
      </c>
      <c r="D10" s="13">
        <f>(B10*Inputs!$B$5+C10*Inputs!$B$6)/1000000</f>
        <v/>
      </c>
      <c r="E10" s="14">
        <f>MAX(Inputs!$B$9,ROUND(D10*(1+Inputs!$B$8)/Inputs!$B$7,0))</f>
        <v/>
      </c>
      <c r="F10" s="15">
        <f>E10*Inputs!$B$7</f>
        <v/>
      </c>
      <c r="G10" s="2" t="inlineStr">
        <is>
          <t>measured</t>
        </is>
      </c>
    </row>
    <row r="11">
      <c r="A11" s="4" t="inlineStr">
        <is>
          <t>YouTube title + description</t>
        </is>
      </c>
      <c r="B11" s="12" t="n">
        <v>900</v>
      </c>
      <c r="C11" s="12" t="n">
        <v>600</v>
      </c>
      <c r="D11" s="13">
        <f>(B11*Inputs!$B$5+C11*Inputs!$B$6)/1000000</f>
        <v/>
      </c>
      <c r="E11" s="14">
        <f>MAX(Inputs!$B$9,ROUND(D11*(1+Inputs!$B$8)/Inputs!$B$7,0))</f>
        <v/>
      </c>
      <c r="F11" s="15">
        <f>E11*Inputs!$B$7</f>
        <v/>
      </c>
      <c r="G11" s="2" t="inlineStr">
        <is>
          <t>estimate</t>
        </is>
      </c>
    </row>
    <row r="12">
      <c r="A12" s="4" t="inlineStr">
        <is>
          <t>YouTube topics from transcript (10-min video)</t>
        </is>
      </c>
      <c r="B12" s="12" t="n">
        <v>3300</v>
      </c>
      <c r="C12" s="12" t="n">
        <v>300</v>
      </c>
      <c r="D12" s="13">
        <f>(B12*Inputs!$B$5+C12*Inputs!$B$6)/1000000</f>
        <v/>
      </c>
      <c r="E12" s="14">
        <f>MAX(Inputs!$B$9,ROUND(D12*(1+Inputs!$B$8)/Inputs!$B$7,0))</f>
        <v/>
      </c>
      <c r="F12" s="15">
        <f>E12*Inputs!$B$7</f>
        <v/>
      </c>
      <c r="G12" s="2" t="inlineStr">
        <is>
          <t>estimate</t>
        </is>
      </c>
    </row>
    <row r="13">
      <c r="A13" s="4" t="inlineStr">
        <is>
          <t>YouTube titles + description from research</t>
        </is>
      </c>
      <c r="B13" s="12" t="n">
        <v>2500</v>
      </c>
      <c r="C13" s="12" t="n">
        <v>700</v>
      </c>
      <c r="D13" s="13">
        <f>(B13*Inputs!$B$5+C13*Inputs!$B$6)/1000000</f>
        <v/>
      </c>
      <c r="E13" s="14">
        <f>MAX(Inputs!$B$9,ROUND(D13*(1+Inputs!$B$8)/Inputs!$B$7,0))</f>
        <v/>
      </c>
      <c r="F13" s="15">
        <f>E13*Inputs!$B$7</f>
        <v/>
      </c>
      <c r="G13" s="2" t="inlineStr">
        <is>
          <t>estimate</t>
        </is>
      </c>
    </row>
    <row r="14">
      <c r="A14" s="4" t="inlineStr">
        <is>
          <t>YouTube chapters (10-min video)</t>
        </is>
      </c>
      <c r="B14" s="12" t="n">
        <v>3000</v>
      </c>
      <c r="C14" s="12" t="n">
        <v>400</v>
      </c>
      <c r="D14" s="13">
        <f>(B14*Inputs!$B$5+C14*Inputs!$B$6)/1000000</f>
        <v/>
      </c>
      <c r="E14" s="14">
        <f>MAX(Inputs!$B$9,ROUND(D14*(1+Inputs!$B$8)/Inputs!$B$7,0))</f>
        <v/>
      </c>
      <c r="F14" s="15">
        <f>E14*Inputs!$B$7</f>
        <v/>
      </c>
      <c r="G14" s="2" t="inlineStr">
        <is>
          <t>estimate</t>
        </is>
      </c>
    </row>
    <row r="15">
      <c r="A15" s="4" t="inlineStr">
        <is>
          <t>Auto-schedule</t>
        </is>
      </c>
      <c r="B15" s="12" t="n">
        <v>3000</v>
      </c>
      <c r="C15" s="12" t="n">
        <v>800</v>
      </c>
      <c r="D15" s="13">
        <f>(B15*Inputs!$B$5+C15*Inputs!$B$6)/1000000</f>
        <v/>
      </c>
      <c r="E15" s="14">
        <f>MAX(Inputs!$B$9,ROUND(D15*(1+Inputs!$B$8)/Inputs!$B$7,0))</f>
        <v/>
      </c>
      <c r="F15" s="15">
        <f>E15*Inputs!$B$7</f>
        <v/>
      </c>
      <c r="G15" s="2" t="inlineStr">
        <is>
          <t>estimate</t>
        </is>
      </c>
    </row>
    <row r="17">
      <c r="A17" s="10" t="inlineStr">
        <is>
          <t>Full Copywriter set, four platforms (28 posts)</t>
        </is>
      </c>
      <c r="D17" s="16">
        <f>D6*3+D7</f>
        <v/>
      </c>
      <c r="E17" s="14">
        <f>MAX(Inputs!$B$9,ROUND(D17*(1+Inputs!$B$8)/Inputs!$B$7,0))</f>
        <v/>
      </c>
      <c r="F17" s="15">
        <f>E17*Inputs!$B$7</f>
        <v/>
      </c>
      <c r="G17" s="2" t="inlineStr">
        <is>
          <t>Instagram, LinkedIn and Facebook at the full-length rate, plus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2" customWidth="1" min="3" max="3"/>
    <col width="10" customWidth="1" min="4" max="4"/>
    <col width="46" customWidth="1" min="5" max="5"/>
    <col width="16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AI image and video models (Higgsfield): what each costs and its price</t>
        </is>
      </c>
    </row>
    <row r="2">
      <c r="A2" s="2" t="inlineStr">
        <is>
          <t>Costs (blue) are Higgsfield estimate-endpoint figures for Zetca's account, 23 Oct 2026; edit them as prices change. 'Plans' (blue) says who can pick the model. Failed and blocked requests are not charged.</t>
        </is>
      </c>
    </row>
    <row r="4">
      <c r="A4" s="3" t="inlineStr">
        <is>
          <t>Image model</t>
        </is>
      </c>
      <c r="B4" s="3" t="inlineStr">
        <is>
          <t>Maker</t>
        </is>
      </c>
      <c r="C4" s="3" t="inlineStr">
        <is>
          <t>Best for</t>
        </is>
      </c>
      <c r="D4" s="3" t="inlineStr">
        <is>
          <t>Setting</t>
        </is>
      </c>
      <c r="E4" s="3" t="inlineStr">
        <is>
          <t>Endpoint</t>
        </is>
      </c>
      <c r="F4" s="3" t="inlineStr">
        <is>
          <t>Cost per image ($)</t>
        </is>
      </c>
      <c r="G4" s="3" t="inlineStr">
        <is>
          <t>Price (credits)</t>
        </is>
      </c>
      <c r="H4" s="3" t="inlineStr">
        <is>
          <t>Price ($)</t>
        </is>
      </c>
      <c r="I4" s="3" t="inlineStr">
        <is>
          <t>Plans</t>
        </is>
      </c>
    </row>
    <row r="5">
      <c r="A5" s="4" t="inlineStr">
        <is>
          <t>Soul V2</t>
        </is>
      </c>
      <c r="B5" s="4" t="inlineStr">
        <is>
          <t>Higgsfield</t>
        </is>
      </c>
      <c r="C5" s="4" t="inlineStr">
        <is>
          <t>Portraits, fashion and editorial, with Soul styles (recommended default)</t>
        </is>
      </c>
      <c r="D5" s="4" t="inlineStr">
        <is>
          <t>1080p</t>
        </is>
      </c>
      <c r="E5" s="4" t="inlineStr">
        <is>
          <t>/higgsfield-ai/soul/v2/standard</t>
        </is>
      </c>
      <c r="F5" s="5" t="n">
        <v>0.006</v>
      </c>
      <c r="G5" s="14">
        <f>MAX(Inputs!$B$9,ROUND(F5*(1+Inputs!$B$8)/Inputs!$B$7,0))</f>
        <v/>
      </c>
      <c r="H5" s="15">
        <f>G5*Inputs!$B$7</f>
        <v/>
      </c>
      <c r="I5" s="17" t="inlineStr">
        <is>
          <t>All paid</t>
        </is>
      </c>
    </row>
    <row r="6">
      <c r="A6" s="4" t="inlineStr">
        <is>
          <t>Soul Cinema</t>
        </is>
      </c>
      <c r="B6" s="4" t="inlineStr">
        <is>
          <t>Higgsfield</t>
        </is>
      </c>
      <c r="C6" s="4" t="inlineStr">
        <is>
          <t>Cinema-style stills</t>
        </is>
      </c>
      <c r="D6" s="4" t="inlineStr">
        <is>
          <t>1080p</t>
        </is>
      </c>
      <c r="E6" s="4" t="inlineStr">
        <is>
          <t>/higgsfield-ai/soul/cinema</t>
        </is>
      </c>
      <c r="F6" s="5" t="n">
        <v>0.006</v>
      </c>
      <c r="G6" s="14">
        <f>MAX(Inputs!$B$9,ROUND(F6*(1+Inputs!$B$8)/Inputs!$B$7,0))</f>
        <v/>
      </c>
      <c r="H6" s="15">
        <f>G6*Inputs!$B$7</f>
        <v/>
      </c>
      <c r="I6" s="17" t="inlineStr">
        <is>
          <t>All paid</t>
        </is>
      </c>
    </row>
    <row r="7">
      <c r="A7" s="4" t="inlineStr">
        <is>
          <t>Z-Image Turbo</t>
        </is>
      </c>
      <c r="B7" s="4" t="inlineStr">
        <is>
          <t>Alibaba</t>
        </is>
      </c>
      <c r="C7" s="4" t="inlineStr">
        <is>
          <t>Fast images at 1K or 2K</t>
        </is>
      </c>
      <c r="D7" s="4" t="inlineStr">
        <is>
          <t>default</t>
        </is>
      </c>
      <c r="E7" s="4" t="inlineStr">
        <is>
          <t>/z-image/turbo</t>
        </is>
      </c>
      <c r="F7" s="5" t="n">
        <v>0.015</v>
      </c>
      <c r="G7" s="14">
        <f>MAX(Inputs!$B$9,ROUND(F7*(1+Inputs!$B$8)/Inputs!$B$7,0))</f>
        <v/>
      </c>
      <c r="H7" s="15">
        <f>G7*Inputs!$B$7</f>
        <v/>
      </c>
      <c r="I7" s="17" t="inlineStr">
        <is>
          <t>All paid</t>
        </is>
      </c>
    </row>
    <row r="8">
      <c r="A8" s="4" t="inlineStr">
        <is>
          <t>Recraft V4.1</t>
        </is>
      </c>
      <c r="B8" s="4" t="inlineStr">
        <is>
          <t>Recraft</t>
        </is>
      </c>
      <c r="C8" s="4" t="inlineStr">
        <is>
          <t>Design and illustration, palette and background control</t>
        </is>
      </c>
      <c r="D8" s="4" t="inlineStr">
        <is>
          <t>1K</t>
        </is>
      </c>
      <c r="E8" s="4" t="inlineStr">
        <is>
          <t>/recraft/v4.1/text-to-image</t>
        </is>
      </c>
      <c r="F8" s="5" t="n">
        <v>0.035</v>
      </c>
      <c r="G8" s="14">
        <f>MAX(Inputs!$B$9,ROUND(F8*(1+Inputs!$B$8)/Inputs!$B$7,0))</f>
        <v/>
      </c>
      <c r="H8" s="15">
        <f>G8*Inputs!$B$7</f>
        <v/>
      </c>
      <c r="I8" s="17" t="inlineStr">
        <is>
          <t>All paid</t>
        </is>
      </c>
    </row>
    <row r="9">
      <c r="A9" s="4" t="inlineStr">
        <is>
          <t>Recraft V4.1 Utility</t>
        </is>
      </c>
      <c r="B9" s="4" t="inlineStr">
        <is>
          <t>Recraft</t>
        </is>
      </c>
      <c r="C9" s="4" t="inlineStr">
        <is>
          <t>Same controls, utility style</t>
        </is>
      </c>
      <c r="D9" s="4" t="inlineStr">
        <is>
          <t>1K</t>
        </is>
      </c>
      <c r="E9" s="4" t="inlineStr">
        <is>
          <t>/recraft/v4.1/utility/text-to-image</t>
        </is>
      </c>
      <c r="F9" s="5" t="n">
        <v>0.035</v>
      </c>
      <c r="G9" s="14">
        <f>MAX(Inputs!$B$9,ROUND(F9*(1+Inputs!$B$8)/Inputs!$B$7,0))</f>
        <v/>
      </c>
      <c r="H9" s="15">
        <f>G9*Inputs!$B$7</f>
        <v/>
      </c>
      <c r="I9" s="17" t="inlineStr">
        <is>
          <t>All paid</t>
        </is>
      </c>
    </row>
    <row r="10">
      <c r="A10" s="4" t="inlineStr">
        <is>
          <t>Qwen Image 3</t>
        </is>
      </c>
      <c r="B10" s="4" t="inlineStr">
        <is>
          <t>Alibaba</t>
        </is>
      </c>
      <c r="C10" s="4" t="inlineStr">
        <is>
          <t>Generate, or edit 1 to 3 reference images</t>
        </is>
      </c>
      <c r="D10" s="4" t="inlineStr">
        <is>
          <t>default</t>
        </is>
      </c>
      <c r="E10" s="4" t="inlineStr">
        <is>
          <t>/alibaba/qwen-image-3/text-to-image</t>
        </is>
      </c>
      <c r="F10" s="5" t="n">
        <v>0.04</v>
      </c>
      <c r="G10" s="14">
        <f>MAX(Inputs!$B$9,ROUND(F10*(1+Inputs!$B$8)/Inputs!$B$7,0))</f>
        <v/>
      </c>
      <c r="H10" s="15">
        <f>G10*Inputs!$B$7</f>
        <v/>
      </c>
      <c r="I10" s="17" t="inlineStr">
        <is>
          <t>All paid</t>
        </is>
      </c>
    </row>
    <row r="11">
      <c r="A11" s="4" t="inlineStr">
        <is>
          <t>Ideogram 4.0</t>
        </is>
      </c>
      <c r="B11" s="4" t="inlineStr">
        <is>
          <t>Ideogram</t>
        </is>
      </c>
      <c r="C11" s="4" t="inlineStr">
        <is>
          <t>Optional image reference, speed choice</t>
        </is>
      </c>
      <c r="D11" s="4" t="inlineStr">
        <is>
          <t>default</t>
        </is>
      </c>
      <c r="E11" s="4" t="inlineStr">
        <is>
          <t>/ideogram/v4.0</t>
        </is>
      </c>
      <c r="F11" s="5" t="n">
        <v>0.06</v>
      </c>
      <c r="G11" s="14">
        <f>MAX(Inputs!$B$9,ROUND(F11*(1+Inputs!$B$8)/Inputs!$B$7,0))</f>
        <v/>
      </c>
      <c r="H11" s="15">
        <f>G11*Inputs!$B$7</f>
        <v/>
      </c>
      <c r="I11" s="17" t="inlineStr">
        <is>
          <t>All paid</t>
        </is>
      </c>
    </row>
    <row r="12">
      <c r="A12" s="4" t="inlineStr">
        <is>
          <t>Grok Image 2.0</t>
        </is>
      </c>
      <c r="B12" s="4" t="inlineStr">
        <is>
          <t>xAI</t>
        </is>
      </c>
      <c r="C12" s="4" t="inlineStr">
        <is>
          <t>Generate and edit with up to 10 references</t>
        </is>
      </c>
      <c r="D12" s="4" t="inlineStr">
        <is>
          <t>default</t>
        </is>
      </c>
      <c r="E12" s="4" t="inlineStr">
        <is>
          <t>/xai/grok-imagine-image-2.0</t>
        </is>
      </c>
      <c r="F12" s="5" t="n">
        <v>0.06</v>
      </c>
      <c r="G12" s="14">
        <f>MAX(Inputs!$B$9,ROUND(F12*(1+Inputs!$B$8)/Inputs!$B$7,0))</f>
        <v/>
      </c>
      <c r="H12" s="15">
        <f>G12*Inputs!$B$7</f>
        <v/>
      </c>
      <c r="I12" s="17" t="inlineStr">
        <is>
          <t>All paid</t>
        </is>
      </c>
    </row>
    <row r="13">
      <c r="A13" s="4" t="inlineStr">
        <is>
          <t>Soul (standard)</t>
        </is>
      </c>
      <c r="B13" s="4" t="inlineStr">
        <is>
          <t>Higgsfield</t>
        </is>
      </c>
      <c r="C13" s="4" t="inlineStr">
        <is>
          <t>Styles and style strength (used by the app today)</t>
        </is>
      </c>
      <c r="D13" s="4" t="inlineStr">
        <is>
          <t>720p</t>
        </is>
      </c>
      <c r="E13" s="4" t="inlineStr">
        <is>
          <t>/higgsfield-ai/soul/standard</t>
        </is>
      </c>
      <c r="F13" s="5" t="n">
        <v>0.094</v>
      </c>
      <c r="G13" s="14">
        <f>MAX(Inputs!$B$9,ROUND(F13*(1+Inputs!$B$8)/Inputs!$B$7,0))</f>
        <v/>
      </c>
      <c r="H13" s="15">
        <f>G13*Inputs!$B$7</f>
        <v/>
      </c>
      <c r="I13" s="17" t="inlineStr">
        <is>
          <t>Pro, Agency</t>
        </is>
      </c>
    </row>
    <row r="14">
      <c r="A14" s="4" t="inlineStr">
        <is>
          <t>Soul (standard)</t>
        </is>
      </c>
      <c r="B14" s="4" t="inlineStr">
        <is>
          <t>Higgsfield</t>
        </is>
      </c>
      <c r="C14" s="4" t="inlineStr">
        <is>
          <t>Styles and style strength (used by the app today)</t>
        </is>
      </c>
      <c r="D14" s="4" t="inlineStr">
        <is>
          <t>1080p</t>
        </is>
      </c>
      <c r="E14" s="4" t="inlineStr">
        <is>
          <t>/higgsfield-ai/soul/standard</t>
        </is>
      </c>
      <c r="F14" s="5" t="n">
        <v>0.188</v>
      </c>
      <c r="G14" s="14">
        <f>MAX(Inputs!$B$9,ROUND(F14*(1+Inputs!$B$8)/Inputs!$B$7,0))</f>
        <v/>
      </c>
      <c r="H14" s="15">
        <f>G14*Inputs!$B$7</f>
        <v/>
      </c>
      <c r="I14" s="17" t="inlineStr">
        <is>
          <t>Pro, Agency</t>
        </is>
      </c>
    </row>
    <row r="15">
      <c r="A15" s="4" t="inlineStr">
        <is>
          <t>Recraft V4.1 Pro</t>
        </is>
      </c>
      <c r="B15" s="4" t="inlineStr">
        <is>
          <t>Recraft</t>
        </is>
      </c>
      <c r="C15" s="4" t="inlineStr">
        <is>
          <t>2K design and illustration</t>
        </is>
      </c>
      <c r="D15" s="4" t="inlineStr">
        <is>
          <t>2K</t>
        </is>
      </c>
      <c r="E15" s="4" t="inlineStr">
        <is>
          <t>/recraft/v4.1/pro/text-to-image</t>
        </is>
      </c>
      <c r="F15" s="5" t="n">
        <v>0.21</v>
      </c>
      <c r="G15" s="14">
        <f>MAX(Inputs!$B$9,ROUND(F15*(1+Inputs!$B$8)/Inputs!$B$7,0))</f>
        <v/>
      </c>
      <c r="H15" s="15">
        <f>G15*Inputs!$B$7</f>
        <v/>
      </c>
      <c r="I15" s="17" t="inlineStr">
        <is>
          <t>Pro, Agency</t>
        </is>
      </c>
    </row>
    <row r="16">
      <c r="A16" s="4" t="inlineStr">
        <is>
          <t>Recraft V4.1 Utility Pro</t>
        </is>
      </c>
      <c r="B16" s="4" t="inlineStr">
        <is>
          <t>Recraft</t>
        </is>
      </c>
      <c r="C16" s="4" t="inlineStr">
        <is>
          <t>2K, utility style</t>
        </is>
      </c>
      <c r="D16" s="4" t="inlineStr">
        <is>
          <t>2K</t>
        </is>
      </c>
      <c r="E16" s="4" t="inlineStr">
        <is>
          <t>/recraft/v4.1/utility/pro/text-to-image</t>
        </is>
      </c>
      <c r="F16" s="5" t="n">
        <v>0.21</v>
      </c>
      <c r="G16" s="14">
        <f>MAX(Inputs!$B$9,ROUND(F16*(1+Inputs!$B$8)/Inputs!$B$7,0))</f>
        <v/>
      </c>
      <c r="H16" s="15">
        <f>G16*Inputs!$B$7</f>
        <v/>
      </c>
      <c r="I16" s="17" t="inlineStr">
        <is>
          <t>Pro, Agency</t>
        </is>
      </c>
    </row>
    <row r="17">
      <c r="A17" s="4" t="inlineStr">
        <is>
          <t>Marketing Studio 2.0 Alpha</t>
        </is>
      </c>
      <c r="B17" s="4" t="inlineStr">
        <is>
          <t>Higgsfield</t>
        </is>
      </c>
      <c r="C17" s="4" t="inlineStr">
        <is>
          <t>Campaign images with preset prompt boosts</t>
        </is>
      </c>
      <c r="D17" s="4" t="inlineStr">
        <is>
          <t>default</t>
        </is>
      </c>
      <c r="E17" s="4" t="inlineStr">
        <is>
          <t>/marketing-studio/image</t>
        </is>
      </c>
      <c r="F17" s="5" t="n">
        <v>0.373</v>
      </c>
      <c r="G17" s="14">
        <f>MAX(Inputs!$B$9,ROUND(F17*(1+Inputs!$B$8)/Inputs!$B$7,0))</f>
        <v/>
      </c>
      <c r="H17" s="15">
        <f>G17*Inputs!$B$7</f>
        <v/>
      </c>
      <c r="I17" s="17" t="inlineStr">
        <is>
          <t>Pro, Agency</t>
        </is>
      </c>
    </row>
    <row r="19">
      <c r="A19" s="2" t="inlineStr">
        <is>
          <t>Videos are made by animating a first frame (Soul V2, row 5) with the video model, so a video costs the frame plus the video step.</t>
        </is>
      </c>
    </row>
    <row r="20">
      <c r="A20" s="3" t="inlineStr">
        <is>
          <t>Video model (image to video)</t>
        </is>
      </c>
      <c r="B20" s="3" t="inlineStr">
        <is>
          <t>Maker</t>
        </is>
      </c>
      <c r="C20" s="3" t="inlineStr">
        <is>
          <t>Best for</t>
        </is>
      </c>
      <c r="D20" s="3" t="inlineStr">
        <is>
          <t>Length (s)</t>
        </is>
      </c>
      <c r="E20" s="3" t="inlineStr">
        <is>
          <t>Endpoint</t>
        </is>
      </c>
      <c r="F20" s="3" t="inlineStr">
        <is>
          <t>Video step ($)</t>
        </is>
      </c>
      <c r="G20" s="3" t="inlineStr">
        <is>
          <t>Video with first frame ($)</t>
        </is>
      </c>
      <c r="H20" s="3" t="inlineStr">
        <is>
          <t>Price (credits)</t>
        </is>
      </c>
      <c r="I20" s="3" t="inlineStr">
        <is>
          <t>Plans</t>
        </is>
      </c>
    </row>
    <row r="21">
      <c r="A21" s="4" t="inlineStr">
        <is>
          <t>Kling 2.5 Turbo Standard</t>
        </is>
      </c>
      <c r="B21" s="4" t="inlineStr">
        <is>
          <t>Kling</t>
        </is>
      </c>
      <c r="C21" s="4" t="inlineStr">
        <is>
          <t>Low-cost clips (recommended default)</t>
        </is>
      </c>
      <c r="D21" s="4" t="n">
        <v>5</v>
      </c>
      <c r="E21" s="4" t="inlineStr">
        <is>
          <t>/kling-video/v2.5-turbo/standard/image-to-video</t>
        </is>
      </c>
      <c r="F21" s="5" t="n">
        <v>0.179</v>
      </c>
      <c r="G21" s="13">
        <f>F21+$F$5</f>
        <v/>
      </c>
      <c r="H21" s="14">
        <f>MAX(Inputs!$B$9,ROUND(G21*(1+Inputs!$B$8)/Inputs!$B$7,0))</f>
        <v/>
      </c>
      <c r="I21" s="17" t="inlineStr">
        <is>
          <t>All paid</t>
        </is>
      </c>
    </row>
    <row r="22">
      <c r="A22" s="4" t="inlineStr">
        <is>
          <t>Hailuo 2.3 Standard</t>
        </is>
      </c>
      <c r="B22" s="4" t="inlineStr">
        <is>
          <t>MiniMax</t>
        </is>
      </c>
      <c r="C22" s="4" t="inlineStr">
        <is>
          <t>Text or image to video</t>
        </is>
      </c>
      <c r="D22" s="4" t="n">
        <v>6</v>
      </c>
      <c r="E22" s="4" t="inlineStr">
        <is>
          <t>/minimax/hailuo-2.3/standard/image-to-video</t>
        </is>
      </c>
      <c r="F22" s="5" t="n">
        <v>0.238</v>
      </c>
      <c r="G22" s="13">
        <f>F22+$F$5</f>
        <v/>
      </c>
      <c r="H22" s="14">
        <f>MAX(Inputs!$B$9,ROUND(G22*(1+Inputs!$B$8)/Inputs!$B$7,0))</f>
        <v/>
      </c>
      <c r="I22" s="17" t="inlineStr">
        <is>
          <t>All paid</t>
        </is>
      </c>
    </row>
    <row r="23">
      <c r="A23" s="4" t="inlineStr">
        <is>
          <t>PixVerse V6</t>
        </is>
      </c>
      <c r="B23" s="4" t="inlineStr">
        <is>
          <t>PixVerse</t>
        </is>
      </c>
      <c r="C23" s="4" t="inlineStr">
        <is>
          <t>Text or images, optional sound</t>
        </is>
      </c>
      <c r="D23" s="4" t="n">
        <v>5</v>
      </c>
      <c r="E23" s="4" t="inlineStr">
        <is>
          <t>/pixverse/v6/image-to-video</t>
        </is>
      </c>
      <c r="F23" s="5" t="n">
        <v>0.255</v>
      </c>
      <c r="G23" s="13">
        <f>F23+$F$5</f>
        <v/>
      </c>
      <c r="H23" s="14">
        <f>MAX(Inputs!$B$9,ROUND(G23*(1+Inputs!$B$8)/Inputs!$B$7,0))</f>
        <v/>
      </c>
      <c r="I23" s="17" t="inlineStr">
        <is>
          <t>All paid</t>
        </is>
      </c>
    </row>
    <row r="24">
      <c r="A24" s="4" t="inlineStr">
        <is>
          <t>Kling 2.5 Turbo Pro</t>
        </is>
      </c>
      <c r="B24" s="4" t="inlineStr">
        <is>
          <t>Kling</t>
        </is>
      </c>
      <c r="C24" s="4" t="inlineStr">
        <is>
          <t>Higher quality Kling 2.5</t>
        </is>
      </c>
      <c r="D24" s="4" t="n">
        <v>5</v>
      </c>
      <c r="E24" s="4" t="inlineStr">
        <is>
          <t>/kling-video/v2.5-turbo/pro/image-to-video</t>
        </is>
      </c>
      <c r="F24" s="5" t="n">
        <v>0.298</v>
      </c>
      <c r="G24" s="13">
        <f>F24+$F$5</f>
        <v/>
      </c>
      <c r="H24" s="14">
        <f>MAX(Inputs!$B$9,ROUND(G24*(1+Inputs!$B$8)/Inputs!$B$7,0))</f>
        <v/>
      </c>
      <c r="I24" s="17" t="inlineStr">
        <is>
          <t>All paid</t>
        </is>
      </c>
    </row>
    <row r="25">
      <c r="A25" s="4" t="inlineStr">
        <is>
          <t>Wan 2.6</t>
        </is>
      </c>
      <c r="B25" s="4" t="inlineStr">
        <is>
          <t>Alibaba</t>
        </is>
      </c>
      <c r="C25" s="4" t="inlineStr">
        <is>
          <t>Text, image or video references</t>
        </is>
      </c>
      <c r="D25" s="4" t="n">
        <v>5</v>
      </c>
      <c r="E25" s="4" t="inlineStr">
        <is>
          <t>/wan/v2.6/image-to-video</t>
        </is>
      </c>
      <c r="F25" s="5" t="n">
        <v>0.425</v>
      </c>
      <c r="G25" s="13">
        <f>F25+$F$5</f>
        <v/>
      </c>
      <c r="H25" s="14">
        <f>MAX(Inputs!$B$9,ROUND(G25*(1+Inputs!$B$8)/Inputs!$B$7,0))</f>
        <v/>
      </c>
      <c r="I25" s="17" t="inlineStr">
        <is>
          <t>Pro, Agency</t>
        </is>
      </c>
    </row>
    <row r="26">
      <c r="A26" s="4" t="inlineStr">
        <is>
          <t>Wan 2.7</t>
        </is>
      </c>
      <c r="B26" s="4" t="inlineStr">
        <is>
          <t>Alibaba</t>
        </is>
      </c>
      <c r="C26" s="4" t="inlineStr">
        <is>
          <t>Frames or multimodal references</t>
        </is>
      </c>
      <c r="D26" s="4" t="n">
        <v>5</v>
      </c>
      <c r="E26" s="4" t="inlineStr">
        <is>
          <t>/wan/v2.7/image-to-video</t>
        </is>
      </c>
      <c r="F26" s="5" t="n">
        <v>0.425</v>
      </c>
      <c r="G26" s="13">
        <f>F26+$F$5</f>
        <v/>
      </c>
      <c r="H26" s="14">
        <f>MAX(Inputs!$B$9,ROUND(G26*(1+Inputs!$B$8)/Inputs!$B$7,0))</f>
        <v/>
      </c>
      <c r="I26" s="17" t="inlineStr">
        <is>
          <t>Pro, Agency</t>
        </is>
      </c>
    </row>
    <row r="27">
      <c r="A27" s="4" t="inlineStr">
        <is>
          <t>Kling 3.0 Turbo</t>
        </is>
      </c>
      <c r="B27" s="4" t="inlineStr">
        <is>
          <t>Kling</t>
        </is>
      </c>
      <c r="C27" s="4" t="inlineStr">
        <is>
          <t>Fast Kling 3.0</t>
        </is>
      </c>
      <c r="D27" s="4" t="n">
        <v>5</v>
      </c>
      <c r="E27" s="4" t="inlineStr">
        <is>
          <t>/kling-video/v3.0-turbo/image-to-video</t>
        </is>
      </c>
      <c r="F27" s="5" t="n">
        <v>0.476</v>
      </c>
      <c r="G27" s="13">
        <f>F27+$F$5</f>
        <v/>
      </c>
      <c r="H27" s="14">
        <f>MAX(Inputs!$B$9,ROUND(G27*(1+Inputs!$B$8)/Inputs!$B$7,0))</f>
        <v/>
      </c>
      <c r="I27" s="17" t="inlineStr">
        <is>
          <t>Pro, Agency</t>
        </is>
      </c>
    </row>
    <row r="28">
      <c r="A28" s="4" t="inlineStr">
        <is>
          <t>Wan 3.0 (720p list price)</t>
        </is>
      </c>
      <c r="B28" s="4" t="inlineStr">
        <is>
          <t>Alibaba</t>
        </is>
      </c>
      <c r="C28" s="4" t="inlineStr">
        <is>
          <t>Frames or multimodal references</t>
        </is>
      </c>
      <c r="D28" s="4" t="n">
        <v>5</v>
      </c>
      <c r="E28" s="4" t="inlineStr">
        <is>
          <t>/alibaba/wan-3.0/image-to-video</t>
        </is>
      </c>
      <c r="F28" s="5" t="n">
        <v>0.5</v>
      </c>
      <c r="G28" s="13">
        <f>F28+$F$5</f>
        <v/>
      </c>
      <c r="H28" s="14">
        <f>MAX(Inputs!$B$9,ROUND(G28*(1+Inputs!$B$8)/Inputs!$B$7,0))</f>
        <v/>
      </c>
      <c r="I28" s="17" t="inlineStr">
        <is>
          <t>Pro, Agency</t>
        </is>
      </c>
    </row>
    <row r="29">
      <c r="A29" s="4" t="inlineStr">
        <is>
          <t>Kling 3.0 Standard</t>
        </is>
      </c>
      <c r="B29" s="4" t="inlineStr">
        <is>
          <t>Kling</t>
        </is>
      </c>
      <c r="C29" s="4" t="inlineStr">
        <is>
          <t>Kling 3.0</t>
        </is>
      </c>
      <c r="D29" s="4" t="n">
        <v>5</v>
      </c>
      <c r="E29" s="4" t="inlineStr">
        <is>
          <t>/kling-video/v3.0/std/image-to-video</t>
        </is>
      </c>
      <c r="F29" s="5" t="n">
        <v>0.536</v>
      </c>
      <c r="G29" s="13">
        <f>F29+$F$5</f>
        <v/>
      </c>
      <c r="H29" s="14">
        <f>MAX(Inputs!$B$9,ROUND(G29*(1+Inputs!$B$8)/Inputs!$B$7,0))</f>
        <v/>
      </c>
      <c r="I29" s="17" t="inlineStr">
        <is>
          <t>Pro, Agency</t>
        </is>
      </c>
    </row>
    <row r="30">
      <c r="A30" s="4" t="inlineStr">
        <is>
          <t>MiniMax H3</t>
        </is>
      </c>
      <c r="B30" s="4" t="inlineStr">
        <is>
          <t>MiniMax</t>
        </is>
      </c>
      <c r="C30" s="4" t="inlineStr">
        <is>
          <t>Frames or multimodal references</t>
        </is>
      </c>
      <c r="D30" s="4" t="n">
        <v>5</v>
      </c>
      <c r="E30" s="4" t="inlineStr">
        <is>
          <t>/minimax/h3/image-to-video</t>
        </is>
      </c>
      <c r="F30" s="5" t="n">
        <v>0.553</v>
      </c>
      <c r="G30" s="13">
        <f>F30+$F$5</f>
        <v/>
      </c>
      <c r="H30" s="14">
        <f>MAX(Inputs!$B$9,ROUND(G30*(1+Inputs!$B$8)/Inputs!$B$7,0))</f>
        <v/>
      </c>
      <c r="I30" s="17" t="inlineStr">
        <is>
          <t>Pro, Agency</t>
        </is>
      </c>
    </row>
    <row r="31">
      <c r="A31" s="4" t="inlineStr">
        <is>
          <t>Wan 3.0 Prime</t>
        </is>
      </c>
      <c r="B31" s="4" t="inlineStr">
        <is>
          <t>Alibaba</t>
        </is>
      </c>
      <c r="C31" s="4" t="inlineStr">
        <is>
          <t>Wan 3.0 Prime (price shows a 60% discount)</t>
        </is>
      </c>
      <c r="D31" s="4" t="n">
        <v>5</v>
      </c>
      <c r="E31" s="4" t="inlineStr">
        <is>
          <t>/alibaba/wan-3.0-prime/image-to-video</t>
        </is>
      </c>
      <c r="F31" s="5" t="n">
        <v>0.5600000000000001</v>
      </c>
      <c r="G31" s="13">
        <f>F31+$F$5</f>
        <v/>
      </c>
      <c r="H31" s="14">
        <f>MAX(Inputs!$B$9,ROUND(G31*(1+Inputs!$B$8)/Inputs!$B$7,0))</f>
        <v/>
      </c>
      <c r="I31" s="17" t="inlineStr">
        <is>
          <t>Pro, Agency</t>
        </is>
      </c>
    </row>
    <row r="32">
      <c r="A32" s="4" t="inlineStr">
        <is>
          <t>Happy Horse 1.0</t>
        </is>
      </c>
      <c r="B32" s="4" t="inlineStr">
        <is>
          <t>Alibaba</t>
        </is>
      </c>
      <c r="C32" s="4" t="inlineStr">
        <is>
          <t>Text, a starting image or references</t>
        </is>
      </c>
      <c r="D32" s="4" t="n">
        <v>5</v>
      </c>
      <c r="E32" s="4" t="inlineStr">
        <is>
          <t>/alibaba/happy-horse/image-to-video</t>
        </is>
      </c>
      <c r="F32" s="5" t="n">
        <v>0.595</v>
      </c>
      <c r="G32" s="13">
        <f>F32+$F$5</f>
        <v/>
      </c>
      <c r="H32" s="14">
        <f>MAX(Inputs!$B$9,ROUND(G32*(1+Inputs!$B$8)/Inputs!$B$7,0))</f>
        <v/>
      </c>
      <c r="I32" s="17" t="inlineStr">
        <is>
          <t>Pro, Agency</t>
        </is>
      </c>
    </row>
    <row r="33">
      <c r="A33" s="4" t="inlineStr">
        <is>
          <t>Kling 2.6 Pro</t>
        </is>
      </c>
      <c r="B33" s="4" t="inlineStr">
        <is>
          <t>Kling</t>
        </is>
      </c>
      <c r="C33" s="4" t="inlineStr">
        <is>
          <t>Starting image, optional sound</t>
        </is>
      </c>
      <c r="D33" s="4" t="n">
        <v>5</v>
      </c>
      <c r="E33" s="4" t="inlineStr">
        <is>
          <t>/kling-video/v2.6/pro/image-to-video</t>
        </is>
      </c>
      <c r="F33" s="5" t="n">
        <v>0.595</v>
      </c>
      <c r="G33" s="13">
        <f>F33+$F$5</f>
        <v/>
      </c>
      <c r="H33" s="14">
        <f>MAX(Inputs!$B$9,ROUND(G33*(1+Inputs!$B$8)/Inputs!$B$7,0))</f>
        <v/>
      </c>
      <c r="I33" s="17" t="inlineStr">
        <is>
          <t>Pro, Agency</t>
        </is>
      </c>
    </row>
    <row r="34">
      <c r="A34" s="4" t="inlineStr">
        <is>
          <t>Kling 3.0 Pro</t>
        </is>
      </c>
      <c r="B34" s="4" t="inlineStr">
        <is>
          <t>Kling</t>
        </is>
      </c>
      <c r="C34" s="4" t="inlineStr">
        <is>
          <t>Higher quality Kling 3.0</t>
        </is>
      </c>
      <c r="D34" s="4" t="n">
        <v>5</v>
      </c>
      <c r="E34" s="4" t="inlineStr">
        <is>
          <t>/kling-video/v3.0/pro/image-to-video</t>
        </is>
      </c>
      <c r="F34" s="5" t="n">
        <v>0.714</v>
      </c>
      <c r="G34" s="13">
        <f>F34+$F$5</f>
        <v/>
      </c>
      <c r="H34" s="14">
        <f>MAX(Inputs!$B$9,ROUND(G34*(1+Inputs!$B$8)/Inputs!$B$7,0))</f>
        <v/>
      </c>
      <c r="I34" s="17" t="inlineStr">
        <is>
          <t>Agency</t>
        </is>
      </c>
    </row>
    <row r="35">
      <c r="A35" s="4" t="inlineStr">
        <is>
          <t>LTX-2.5 Pro</t>
        </is>
      </c>
      <c r="B35" s="4" t="inlineStr">
        <is>
          <t>Lightricks</t>
        </is>
      </c>
      <c r="C35" s="4" t="inlineStr">
        <is>
          <t>Text or images, Pro variant</t>
        </is>
      </c>
      <c r="D35" s="4" t="n">
        <v>6</v>
      </c>
      <c r="E35" s="4" t="inlineStr">
        <is>
          <t>/lightricks/ltx-2.5/image-to-video/pro</t>
        </is>
      </c>
      <c r="F35" s="5" t="n">
        <v>0.72</v>
      </c>
      <c r="G35" s="13">
        <f>F35+$F$5</f>
        <v/>
      </c>
      <c r="H35" s="14">
        <f>MAX(Inputs!$B$9,ROUND(G35*(1+Inputs!$B$8)/Inputs!$B$7,0))</f>
        <v/>
      </c>
      <c r="I35" s="17" t="inlineStr">
        <is>
          <t>Agency</t>
        </is>
      </c>
    </row>
    <row r="36">
      <c r="A36" s="4" t="inlineStr">
        <is>
          <t>HappyHorse 1.1</t>
        </is>
      </c>
      <c r="B36" s="4" t="inlineStr">
        <is>
          <t>Alibaba</t>
        </is>
      </c>
      <c r="C36" s="4" t="inlineStr">
        <is>
          <t>Text, a starting image or references</t>
        </is>
      </c>
      <c r="D36" s="4" t="n">
        <v>5</v>
      </c>
      <c r="E36" s="4" t="inlineStr">
        <is>
          <t>/alibaba/happy-horse/v1.1/image-to-video</t>
        </is>
      </c>
      <c r="F36" s="5" t="n">
        <v>0.765</v>
      </c>
      <c r="G36" s="13">
        <f>F36+$F$5</f>
        <v/>
      </c>
      <c r="H36" s="14">
        <f>MAX(Inputs!$B$9,ROUND(G36*(1+Inputs!$B$8)/Inputs!$B$7,0))</f>
        <v/>
      </c>
      <c r="I36" s="17" t="inlineStr">
        <is>
          <t>Agency</t>
        </is>
      </c>
    </row>
    <row r="37">
      <c r="A37" s="4" t="inlineStr">
        <is>
          <t>Kling 3.0 4K</t>
        </is>
      </c>
      <c r="B37" s="4" t="inlineStr">
        <is>
          <t>Kling</t>
        </is>
      </c>
      <c r="C37" s="4" t="inlineStr">
        <is>
          <t>4K output</t>
        </is>
      </c>
      <c r="D37" s="4" t="n">
        <v>5</v>
      </c>
      <c r="E37" s="4" t="inlineStr">
        <is>
          <t>/kling-video/v3.0/4k/image-to-video</t>
        </is>
      </c>
      <c r="F37" s="5" t="n">
        <v>1.785</v>
      </c>
      <c r="G37" s="13">
        <f>F37+$F$5</f>
        <v/>
      </c>
      <c r="H37" s="14">
        <f>MAX(Inputs!$B$9,ROUND(G37*(1+Inputs!$B$8)/Inputs!$B$7,0))</f>
        <v/>
      </c>
      <c r="I37" s="17" t="inlineStr">
        <is>
          <t>Agency</t>
        </is>
      </c>
    </row>
    <row r="38">
      <c r="A38" s="4" t="inlineStr">
        <is>
          <t>Seedance 2.5 (720p, approximate)</t>
        </is>
      </c>
      <c r="B38" s="4" t="inlineStr">
        <is>
          <t>ByteDance</t>
        </is>
      </c>
      <c r="C38" s="4" t="inlineStr">
        <is>
          <t>Generate, edit and extend with references</t>
        </is>
      </c>
      <c r="D38" s="4" t="n">
        <v>5</v>
      </c>
      <c r="E38" s="4" t="inlineStr">
        <is>
          <t>/bytedance/seedance-2.5/image-to-video</t>
        </is>
      </c>
      <c r="F38" s="5" t="n">
        <v>2.311</v>
      </c>
      <c r="G38" s="13">
        <f>F38+$F$5</f>
        <v/>
      </c>
      <c r="H38" s="14">
        <f>MAX(Inputs!$B$9,ROUND(G38*(1+Inputs!$B$8)/Inputs!$B$7,0))</f>
        <v/>
      </c>
      <c r="I38" s="17" t="inlineStr">
        <is>
          <t>Agency</t>
        </is>
      </c>
    </row>
    <row r="40">
      <c r="A40" s="2" t="inlineStr">
        <is>
          <t>Most video prices include a 15% Higgsfield discount that may be temporary.</t>
        </is>
      </c>
    </row>
    <row r="41">
      <c r="A41" s="2" t="inlineStr">
        <is>
          <t>Not priced: Marketing Studio 2.5 Flare and Sunburst (token-metered), Seedance 2.0 (token-metered), reference and edit workflows, Cinema Studio, Genjutsu, Grok Imagine Video.</t>
        </is>
      </c>
    </row>
    <row r="42">
      <c r="A42" s="2" t="inlineStr">
        <is>
          <t>Text-to-video variants cost the same as image to video but most can't set a 9:16 shape, so Zetca animates a first frame instead.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1" t="inlineStr">
        <is>
          <t>YouTube suggestions: cost per minute of video</t>
        </is>
      </c>
    </row>
    <row r="2">
      <c r="A2" s="2" t="inlineStr">
        <is>
          <t>Transcribe is charged per minute; the AI steps grow with the transcript. Edit the token estimates (blue).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Unit</t>
        </is>
      </c>
    </row>
    <row r="5">
      <c r="A5" s="4" t="inlineStr">
        <is>
          <t>Transcribe</t>
        </is>
      </c>
      <c r="B5" s="18">
        <f>Inputs!$B$10</f>
        <v/>
      </c>
      <c r="C5" s="4" t="inlineStr">
        <is>
          <t>$ a minute</t>
        </is>
      </c>
    </row>
    <row r="6">
      <c r="A6" s="4" t="inlineStr">
        <is>
          <t>AI input tokens per minute of video</t>
        </is>
      </c>
      <c r="B6" s="12" t="n">
        <v>900</v>
      </c>
      <c r="C6" s="4" t="inlineStr">
        <is>
          <t>tokens</t>
        </is>
      </c>
    </row>
    <row r="7">
      <c r="A7" s="4" t="inlineStr">
        <is>
          <t>AI output tokens per minute of video</t>
        </is>
      </c>
      <c r="B7" s="12" t="n">
        <v>60</v>
      </c>
      <c r="C7" s="4" t="inlineStr">
        <is>
          <t>tokens</t>
        </is>
      </c>
    </row>
    <row r="8">
      <c r="A8" s="4" t="inlineStr">
        <is>
          <t>AI cost per minute</t>
        </is>
      </c>
      <c r="B8" s="19">
        <f>(B6*Inputs!$B$5+B7*Inputs!$B$6)/1000000</f>
        <v/>
      </c>
      <c r="C8" s="4" t="inlineStr">
        <is>
          <t>$ a minute</t>
        </is>
      </c>
    </row>
    <row r="9">
      <c r="A9" s="4" t="inlineStr">
        <is>
          <t>Cost per minute of video</t>
        </is>
      </c>
      <c r="B9" s="16">
        <f>B5+B8</f>
        <v/>
      </c>
      <c r="C9" s="4" t="inlineStr">
        <is>
          <t>$ a minute</t>
        </is>
      </c>
    </row>
    <row r="10">
      <c r="A10" s="4" t="inlineStr">
        <is>
          <t>Price per minute</t>
        </is>
      </c>
      <c r="B10" s="20">
        <f>B9*(1+Inputs!$B$8)/Inputs!$B$7</f>
        <v/>
      </c>
      <c r="C10" s="4" t="inlineStr">
        <is>
          <t>credits</t>
        </is>
      </c>
    </row>
    <row r="11">
      <c r="A11" s="4" t="inlineStr">
        <is>
          <t>Minimum price per video</t>
        </is>
      </c>
      <c r="B11" s="12" t="n">
        <v>5</v>
      </c>
      <c r="C11" s="4" t="inlineStr">
        <is>
          <t>credits</t>
        </is>
      </c>
    </row>
    <row r="13">
      <c r="A13" s="3" t="inlineStr">
        <is>
          <t>Video length (minutes)</t>
        </is>
      </c>
      <c r="B13" s="3" t="inlineStr">
        <is>
          <t>Cost to us ($)</t>
        </is>
      </c>
      <c r="C13" s="3" t="inlineStr">
        <is>
          <t>Price (credits)</t>
        </is>
      </c>
    </row>
    <row r="14">
      <c r="A14" s="17" t="n">
        <v>5</v>
      </c>
      <c r="B14" s="13">
        <f>A14*$B$9</f>
        <v/>
      </c>
      <c r="C14" s="14">
        <f>MAX($B$11,ROUND(A14*$B$10,0))</f>
        <v/>
      </c>
    </row>
    <row r="15">
      <c r="A15" s="17" t="n">
        <v>10</v>
      </c>
      <c r="B15" s="13">
        <f>A15*$B$9</f>
        <v/>
      </c>
      <c r="C15" s="14">
        <f>MAX($B$11,ROUND(A15*$B$10,0))</f>
        <v/>
      </c>
    </row>
    <row r="16">
      <c r="A16" s="17" t="n">
        <v>20</v>
      </c>
      <c r="B16" s="13">
        <f>A16*$B$9</f>
        <v/>
      </c>
      <c r="C16" s="14">
        <f>MAX($B$11,ROUND(A16*$B$10,0))</f>
        <v/>
      </c>
    </row>
    <row r="17">
      <c r="A17" s="17" t="n">
        <v>30</v>
      </c>
      <c r="B17" s="13">
        <f>A17*$B$9</f>
        <v/>
      </c>
      <c r="C17" s="14">
        <f>MAX($B$11,ROUND(A17*$B$10,0))</f>
        <v/>
      </c>
    </row>
    <row r="18">
      <c r="A18" s="17" t="n">
        <v>60</v>
      </c>
      <c r="B18" s="13">
        <f>A18*$B$9</f>
        <v/>
      </c>
      <c r="C18" s="14">
        <f>MAX($B$11,ROUND(A18*$B$10,0))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6" customWidth="1" min="4" max="4"/>
    <col width="12" customWidth="1" min="5" max="5"/>
    <col width="22" customWidth="1" min="6" max="6"/>
    <col width="18" customWidth="1" min="7" max="7"/>
    <col width="16" customWidth="1" min="8" max="8"/>
    <col width="18" customWidth="1" min="9" max="9"/>
    <col width="20" customWidth="1" min="10" max="10"/>
    <col width="18" customWidth="1" min="11" max="11"/>
  </cols>
  <sheetData>
    <row r="1">
      <c r="A1" s="1" t="inlineStr">
        <is>
          <t>Plans: price, credits and margin</t>
        </is>
      </c>
    </row>
    <row r="2">
      <c r="A2" s="2" t="inlineStr">
        <is>
          <t>Margin = price minus card fees minus the AI cost of the credits used. Credits are priced at cost x (1 + margin), so their cost = credits x credit value / (1 + margin).</t>
        </is>
      </c>
    </row>
    <row r="4">
      <c r="A4" s="3" t="inlineStr">
        <is>
          <t>Plan</t>
        </is>
      </c>
      <c r="B4" s="3" t="inlineStr">
        <is>
          <t>Price a month ($)</t>
        </is>
      </c>
      <c r="C4" s="3" t="inlineStr">
        <is>
          <t>Credits</t>
        </is>
      </c>
      <c r="D4" s="3" t="inlineStr">
        <is>
          <t>AI images + videos</t>
        </is>
      </c>
      <c r="E4" s="3" t="inlineStr">
        <is>
          <t>Card fees ($)</t>
        </is>
      </c>
      <c r="F4" s="3" t="inlineStr">
        <is>
          <t>Cost if all credits used ($)</t>
        </is>
      </c>
      <c r="G4" s="3" t="inlineStr">
        <is>
          <t>Margin if all used ($)</t>
        </is>
      </c>
      <c r="H4" s="3" t="inlineStr">
        <is>
          <t>Margin if all used (%)</t>
        </is>
      </c>
      <c r="I4" s="3" t="inlineStr">
        <is>
          <t>Cost at typical use ($)</t>
        </is>
      </c>
      <c r="J4" s="3" t="inlineStr">
        <is>
          <t>Margin at typical use ($)</t>
        </is>
      </c>
      <c r="K4" s="3" t="inlineStr">
        <is>
          <t>Margin at typical use (%)</t>
        </is>
      </c>
    </row>
    <row r="5">
      <c r="A5" s="10" t="inlineStr">
        <is>
          <t>Free</t>
        </is>
      </c>
      <c r="B5" s="21" t="n">
        <v>0</v>
      </c>
      <c r="C5" s="8" t="n">
        <v>100</v>
      </c>
      <c r="D5" s="4" t="inlineStr">
        <is>
          <t>no</t>
        </is>
      </c>
      <c r="E5" s="15">
        <f>IF(B5&gt;0,B5*Inputs!$B$11+Inputs!$B$12,0)</f>
        <v/>
      </c>
      <c r="F5" s="15">
        <f>C5*Inputs!$B$7/(1+Inputs!$B$8)</f>
        <v/>
      </c>
      <c r="G5" s="11">
        <f>B5-E5-F5</f>
        <v/>
      </c>
      <c r="H5" s="22">
        <f>IF(B5&gt;0,G5/B5,0)</f>
        <v/>
      </c>
      <c r="I5" s="15">
        <f>F5*Inputs!$B$13</f>
        <v/>
      </c>
      <c r="J5" s="11">
        <f>B5-E5-I5</f>
        <v/>
      </c>
      <c r="K5" s="22">
        <f>IF(B5&gt;0,J5/B5,0)</f>
        <v/>
      </c>
    </row>
    <row r="6">
      <c r="A6" s="10" t="inlineStr">
        <is>
          <t>Starter</t>
        </is>
      </c>
      <c r="B6" s="21" t="n">
        <v>15</v>
      </c>
      <c r="C6" s="8" t="n">
        <v>1500</v>
      </c>
      <c r="D6" s="4" t="inlineStr">
        <is>
          <t>yes</t>
        </is>
      </c>
      <c r="E6" s="15">
        <f>IF(B6&gt;0,B6*Inputs!$B$11+Inputs!$B$12,0)</f>
        <v/>
      </c>
      <c r="F6" s="15">
        <f>C6*Inputs!$B$7/(1+Inputs!$B$8)</f>
        <v/>
      </c>
      <c r="G6" s="11">
        <f>B6-E6-F6</f>
        <v/>
      </c>
      <c r="H6" s="22">
        <f>IF(B6&gt;0,G6/B6,0)</f>
        <v/>
      </c>
      <c r="I6" s="15">
        <f>F6*Inputs!$B$13</f>
        <v/>
      </c>
      <c r="J6" s="11">
        <f>B6-E6-I6</f>
        <v/>
      </c>
      <c r="K6" s="22">
        <f>IF(B6&gt;0,J6/B6,0)</f>
        <v/>
      </c>
    </row>
    <row r="7">
      <c r="A7" s="10" t="inlineStr">
        <is>
          <t>Pro</t>
        </is>
      </c>
      <c r="B7" s="21" t="n">
        <v>39</v>
      </c>
      <c r="C7" s="8" t="n">
        <v>4000</v>
      </c>
      <c r="D7" s="4" t="inlineStr">
        <is>
          <t>yes</t>
        </is>
      </c>
      <c r="E7" s="15">
        <f>IF(B7&gt;0,B7*Inputs!$B$11+Inputs!$B$12,0)</f>
        <v/>
      </c>
      <c r="F7" s="15">
        <f>C7*Inputs!$B$7/(1+Inputs!$B$8)</f>
        <v/>
      </c>
      <c r="G7" s="11">
        <f>B7-E7-F7</f>
        <v/>
      </c>
      <c r="H7" s="22">
        <f>IF(B7&gt;0,G7/B7,0)</f>
        <v/>
      </c>
      <c r="I7" s="15">
        <f>F7*Inputs!$B$13</f>
        <v/>
      </c>
      <c r="J7" s="11">
        <f>B7-E7-I7</f>
        <v/>
      </c>
      <c r="K7" s="22">
        <f>IF(B7&gt;0,J7/B7,0)</f>
        <v/>
      </c>
    </row>
    <row r="8">
      <c r="A8" s="10" t="inlineStr">
        <is>
          <t>Agency</t>
        </is>
      </c>
      <c r="B8" s="21" t="n">
        <v>99</v>
      </c>
      <c r="C8" s="8" t="n">
        <v>10000</v>
      </c>
      <c r="D8" s="4" t="inlineStr">
        <is>
          <t>yes</t>
        </is>
      </c>
      <c r="E8" s="15">
        <f>IF(B8&gt;0,B8*Inputs!$B$11+Inputs!$B$12,0)</f>
        <v/>
      </c>
      <c r="F8" s="15">
        <f>C8*Inputs!$B$7/(1+Inputs!$B$8)</f>
        <v/>
      </c>
      <c r="G8" s="11">
        <f>B8-E8-F8</f>
        <v/>
      </c>
      <c r="H8" s="22">
        <f>IF(B8&gt;0,G8/B8,0)</f>
        <v/>
      </c>
      <c r="I8" s="15">
        <f>F8*Inputs!$B$13</f>
        <v/>
      </c>
      <c r="J8" s="11">
        <f>B8-E8-I8</f>
        <v/>
      </c>
      <c r="K8" s="22">
        <f>IF(B8&gt;0,J8/B8,0)</f>
        <v/>
      </c>
    </row>
    <row r="9">
      <c r="A9" s="10" t="inlineStr">
        <is>
          <t>Top-up 500</t>
        </is>
      </c>
      <c r="B9" s="21" t="n">
        <v>6</v>
      </c>
      <c r="C9" s="8" t="n">
        <v>500</v>
      </c>
      <c r="D9" s="4" t="inlineStr">
        <is>
          <t>yes</t>
        </is>
      </c>
      <c r="E9" s="15">
        <f>IF(B9&gt;0,B9*Inputs!$B$11+Inputs!$B$12,0)</f>
        <v/>
      </c>
      <c r="F9" s="15">
        <f>C9*Inputs!$B$7/(1+Inputs!$B$8)</f>
        <v/>
      </c>
      <c r="G9" s="11">
        <f>B9-E9-F9</f>
        <v/>
      </c>
      <c r="H9" s="22">
        <f>IF(B9&gt;0,G9/B9,0)</f>
        <v/>
      </c>
      <c r="I9" s="15">
        <f>F9*Inputs!$B$13</f>
        <v/>
      </c>
      <c r="J9" s="11">
        <f>B9-E9-I9</f>
        <v/>
      </c>
      <c r="K9" s="22">
        <f>IF(B9&gt;0,J9/B9,0)</f>
        <v/>
      </c>
    </row>
    <row r="10">
      <c r="A10" s="10" t="inlineStr">
        <is>
          <t>Top-up 2,000</t>
        </is>
      </c>
      <c r="B10" s="21" t="n">
        <v>22</v>
      </c>
      <c r="C10" s="8" t="n">
        <v>2000</v>
      </c>
      <c r="D10" s="4" t="inlineStr">
        <is>
          <t>yes</t>
        </is>
      </c>
      <c r="E10" s="15">
        <f>IF(B10&gt;0,B10*Inputs!$B$11+Inputs!$B$12,0)</f>
        <v/>
      </c>
      <c r="F10" s="15">
        <f>C10*Inputs!$B$7/(1+Inputs!$B$8)</f>
        <v/>
      </c>
      <c r="G10" s="11">
        <f>B10-E10-F10</f>
        <v/>
      </c>
      <c r="H10" s="22">
        <f>IF(B10&gt;0,G10/B10,0)</f>
        <v/>
      </c>
      <c r="I10" s="15">
        <f>F10*Inputs!$B$13</f>
        <v/>
      </c>
      <c r="J10" s="11">
        <f>B10-E10-I10</f>
        <v/>
      </c>
      <c r="K10" s="22">
        <f>IF(B10&gt;0,J10/B10,0)</f>
        <v/>
      </c>
    </row>
    <row r="12">
      <c r="A12" s="10" t="inlineStr">
        <is>
          <t>Starter subscribers to cover fixed costs</t>
        </is>
      </c>
      <c r="B12" s="14">
        <f>ROUNDUP(Inputs!$B$16/J6,0)</f>
        <v/>
      </c>
      <c r="C12" s="2" t="inlineStr">
        <is>
          <t>at typical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2026-10-23T22:42:43Z</dcterms:created>
  <dcterms:modified xsi:type="dcterms:W3CDTF">2026-10-23T22:42:43Z</dcterms:modified>
</cp:coreProperties>
</file>